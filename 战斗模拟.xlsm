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G:\proj_Of\of_design\005_数值文档\00501_基础数值\vba目录\"/>
    </mc:Choice>
  </mc:AlternateContent>
  <xr:revisionPtr revIDLastSave="0" documentId="13_ncr:1_{C2D5DF62-4C20-46E7-9F06-DC5F2C3FFA97}" xr6:coauthVersionLast="43" xr6:coauthVersionMax="43" xr10:uidLastSave="{00000000-0000-0000-0000-000000000000}"/>
  <bookViews>
    <workbookView xWindow="-120" yWindow="-120" windowWidth="29040" windowHeight="15840" activeTab="1" xr2:uid="{00000000-000D-0000-FFFF-FFFF00000000}"/>
  </bookViews>
  <sheets>
    <sheet name="Sheet1" sheetId="1" r:id="rId1"/>
    <sheet name="Battle"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9" i="1" l="1"/>
  <c r="F20" i="1"/>
  <c r="F21" i="1"/>
  <c r="F22" i="1"/>
  <c r="F23" i="1"/>
  <c r="F24" i="1"/>
  <c r="F25" i="1"/>
  <c r="F26" i="1"/>
  <c r="A20" i="1"/>
  <c r="A21" i="1"/>
  <c r="A22" i="1"/>
  <c r="A23" i="1"/>
  <c r="A24" i="1"/>
  <c r="A25" i="1"/>
  <c r="A26" i="1"/>
  <c r="A19" i="1"/>
  <c r="F7" i="1"/>
  <c r="F8" i="1"/>
  <c r="F9" i="1"/>
  <c r="F10" i="1"/>
  <c r="F11" i="1"/>
  <c r="F12" i="1"/>
  <c r="F13" i="1"/>
  <c r="F6" i="1"/>
  <c r="A7" i="1"/>
  <c r="A8" i="1"/>
  <c r="A9" i="1"/>
  <c r="A10" i="1"/>
  <c r="A11" i="1"/>
  <c r="A12" i="1"/>
  <c r="A13" i="1"/>
  <c r="A6" i="1"/>
  <c r="U9" i="1" l="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8" i="1"/>
  <c r="E26" i="2"/>
  <c r="E25" i="2"/>
  <c r="E24" i="2"/>
  <c r="E23" i="2"/>
  <c r="E22" i="2"/>
  <c r="E21" i="2"/>
  <c r="E13" i="2"/>
  <c r="E12" i="2"/>
  <c r="E9" i="2"/>
  <c r="E8" i="2"/>
  <c r="E11" i="2"/>
  <c r="E10" i="2"/>
  <c r="G26" i="1"/>
  <c r="G25" i="1"/>
  <c r="G24" i="1"/>
  <c r="G23" i="1"/>
  <c r="G22" i="1"/>
  <c r="G21" i="1"/>
  <c r="G20" i="1"/>
  <c r="G19" i="1"/>
  <c r="G7" i="1"/>
  <c r="G8" i="1"/>
  <c r="G9" i="1"/>
  <c r="G10" i="1"/>
  <c r="G11" i="1"/>
  <c r="G12" i="1"/>
  <c r="L22" i="1" s="1"/>
  <c r="M22" i="1" s="1"/>
  <c r="G13" i="1"/>
  <c r="G6" i="1"/>
  <c r="B26" i="1"/>
  <c r="B25" i="1"/>
  <c r="B24" i="1"/>
  <c r="B23" i="1"/>
  <c r="B22" i="1"/>
  <c r="B21" i="1"/>
  <c r="B20" i="1"/>
  <c r="B19" i="1"/>
  <c r="B7" i="1"/>
  <c r="B8" i="1"/>
  <c r="B9" i="1"/>
  <c r="B10" i="1"/>
  <c r="B11" i="1"/>
  <c r="B12" i="1"/>
  <c r="B13" i="1"/>
  <c r="B6" i="1"/>
  <c r="E13" i="1"/>
  <c r="E12" i="1"/>
  <c r="E9" i="1"/>
  <c r="E10" i="1"/>
  <c r="E11" i="1"/>
  <c r="E8" i="1"/>
  <c r="L39" i="1"/>
  <c r="M39" i="1" s="1"/>
  <c r="L30" i="1"/>
  <c r="M30" i="1" s="1"/>
  <c r="L14" i="1"/>
  <c r="M14" i="1" s="1"/>
  <c r="L35" i="1"/>
  <c r="M35" i="1" s="1"/>
  <c r="L25" i="1"/>
  <c r="M25" i="1" s="1"/>
  <c r="L13" i="1"/>
  <c r="M13" i="1" s="1"/>
  <c r="L15" i="1"/>
  <c r="M15" i="1" s="1"/>
  <c r="L21" i="1"/>
  <c r="M21" i="1" s="1"/>
  <c r="L10" i="1"/>
  <c r="M10" i="1" s="1"/>
  <c r="L33" i="1"/>
  <c r="M33" i="1" s="1"/>
  <c r="L29" i="1"/>
  <c r="M29" i="1" s="1"/>
  <c r="L38" i="1"/>
  <c r="M38" i="1" s="1"/>
  <c r="L19" i="1"/>
  <c r="M19" i="1" s="1"/>
  <c r="L26" i="1"/>
  <c r="M26" i="1" s="1"/>
  <c r="L16" i="1"/>
  <c r="M16" i="1" s="1"/>
  <c r="L32" i="1"/>
  <c r="M32" i="1" s="1"/>
  <c r="L17" i="1"/>
  <c r="M17" i="1" s="1"/>
  <c r="L11" i="1"/>
  <c r="M11" i="1" s="1"/>
  <c r="L27" i="1"/>
  <c r="M27" i="1" s="1"/>
  <c r="L23" i="1"/>
  <c r="M23" i="1" s="1"/>
  <c r="L18" i="1"/>
  <c r="M18" i="1" s="1"/>
  <c r="L37" i="1"/>
  <c r="M37" i="1" s="1"/>
  <c r="L9" i="1"/>
  <c r="M9" i="1" s="1"/>
  <c r="L20" i="1"/>
  <c r="M20" i="1" s="1"/>
  <c r="L12" i="1"/>
  <c r="M12" i="1" s="1"/>
  <c r="L31" i="1"/>
  <c r="M31" i="1" s="1"/>
  <c r="L34" i="1"/>
  <c r="M34" i="1" s="1"/>
  <c r="L36" i="1"/>
  <c r="M36" i="1" s="1"/>
  <c r="L28" i="1"/>
  <c r="M28" i="1" s="1"/>
  <c r="L8" i="1"/>
  <c r="M8" i="1" s="1"/>
  <c r="L24" i="1"/>
  <c r="M24" i="1" s="1"/>
  <c r="V8" i="1" l="1"/>
</calcChain>
</file>

<file path=xl/sharedStrings.xml><?xml version="1.0" encoding="utf-8"?>
<sst xmlns="http://schemas.openxmlformats.org/spreadsheetml/2006/main" count="164" uniqueCount="122">
  <si>
    <t>力量</t>
    <phoneticPr fontId="2" type="noConversion"/>
  </si>
  <si>
    <t>体质</t>
    <phoneticPr fontId="2" type="noConversion"/>
  </si>
  <si>
    <t>敏捷</t>
    <phoneticPr fontId="2" type="noConversion"/>
  </si>
  <si>
    <t>暴击</t>
    <phoneticPr fontId="2" type="noConversion"/>
  </si>
  <si>
    <t>闪避</t>
    <phoneticPr fontId="2" type="noConversion"/>
  </si>
  <si>
    <t>连击</t>
    <phoneticPr fontId="2" type="noConversion"/>
  </si>
  <si>
    <t>反击</t>
    <phoneticPr fontId="2" type="noConversion"/>
  </si>
  <si>
    <t>击晕</t>
    <phoneticPr fontId="2" type="noConversion"/>
  </si>
  <si>
    <t>吸血</t>
    <phoneticPr fontId="2" type="noConversion"/>
  </si>
  <si>
    <t>角色A</t>
    <phoneticPr fontId="2" type="noConversion"/>
  </si>
  <si>
    <t>角色B</t>
    <phoneticPr fontId="2" type="noConversion"/>
  </si>
  <si>
    <t>战斗日志</t>
    <phoneticPr fontId="2" type="noConversion"/>
  </si>
  <si>
    <t>---------第1回合--------</t>
  </si>
  <si>
    <t>---------第2回合--------</t>
  </si>
  <si>
    <t>---------第3回合--------</t>
  </si>
  <si>
    <t>---------第4回合--------</t>
  </si>
  <si>
    <t>---------第5回合--------</t>
  </si>
  <si>
    <t>力量</t>
  </si>
  <si>
    <t>生命</t>
  </si>
  <si>
    <t>生命</t>
    <phoneticPr fontId="2" type="noConversion"/>
  </si>
  <si>
    <t>连击</t>
  </si>
  <si>
    <t>反击</t>
  </si>
  <si>
    <t>暴击</t>
  </si>
  <si>
    <t>闪避</t>
  </si>
  <si>
    <t>体质</t>
  </si>
  <si>
    <t>敏捷</t>
  </si>
  <si>
    <t>连击抵抗</t>
  </si>
  <si>
    <t>反击抵抗</t>
  </si>
  <si>
    <t>暴击抵抗</t>
  </si>
  <si>
    <t>闪避抵抗</t>
  </si>
  <si>
    <t>击晕</t>
  </si>
  <si>
    <t>击晕抵抗</t>
  </si>
  <si>
    <t>吸血</t>
  </si>
  <si>
    <t>吸血抵抗</t>
  </si>
  <si>
    <t>characterA(2)</t>
  </si>
  <si>
    <t>characterA(4)</t>
  </si>
  <si>
    <t>characterA(6)</t>
  </si>
  <si>
    <t>characterA(8)</t>
  </si>
  <si>
    <t>characterA(10)</t>
  </si>
  <si>
    <t>characterA(12)</t>
  </si>
  <si>
    <t>characterA(14)</t>
  </si>
  <si>
    <t>characterA(1)</t>
  </si>
  <si>
    <t>characterA(3)</t>
  </si>
  <si>
    <t>characterA(5)</t>
  </si>
  <si>
    <t>characterA(7)</t>
  </si>
  <si>
    <t>characterA(9)</t>
  </si>
  <si>
    <t>characterA(11)</t>
  </si>
  <si>
    <t>characterA(13)</t>
  </si>
  <si>
    <t>characterA(15)</t>
  </si>
  <si>
    <t>characterB(1)</t>
  </si>
  <si>
    <t>characterB(2)</t>
  </si>
  <si>
    <t>characterB(3)</t>
  </si>
  <si>
    <t>characterB(4)</t>
  </si>
  <si>
    <t>characterB(5)</t>
  </si>
  <si>
    <t>characterB(6)</t>
  </si>
  <si>
    <t>characterB(7)</t>
  </si>
  <si>
    <t>characterB(8)</t>
  </si>
  <si>
    <t>characterB(9)</t>
  </si>
  <si>
    <t>characterB(10)</t>
  </si>
  <si>
    <t>characterB(11)</t>
  </si>
  <si>
    <t>characterB(12)</t>
  </si>
  <si>
    <t>characterB(13)</t>
  </si>
  <si>
    <t>characterB(14)</t>
  </si>
  <si>
    <t>characterB(15)</t>
  </si>
  <si>
    <t>characterA(16)</t>
  </si>
  <si>
    <t>characterB(16)</t>
  </si>
  <si>
    <t>characterA(1)=Sheets("Battle").range("D6")</t>
  </si>
  <si>
    <t>characterA(2)=Sheets("Battle").range("F6")</t>
  </si>
  <si>
    <t>characterA(3)=Sheets("Battle").range("D7")</t>
  </si>
  <si>
    <t>characterA(4)=Sheets("Battle").range("F7")</t>
  </si>
  <si>
    <t>characterA(5)=Sheets("Battle").range("D8")</t>
  </si>
  <si>
    <t>characterA(6)=Sheets("Battle").range("F8")</t>
  </si>
  <si>
    <t>characterA(7)=Sheets("Battle").range("D9")</t>
  </si>
  <si>
    <t>characterA(8)=Sheets("Battle").range("F9")</t>
  </si>
  <si>
    <t>characterA(9)=Sheets("Battle").range("D10")</t>
  </si>
  <si>
    <t>characterA(10)=Sheets("Battle").range("F10")</t>
  </si>
  <si>
    <t>characterA(11)=Sheets("Battle").range("D11")</t>
  </si>
  <si>
    <t>characterA(12)=Sheets("Battle").range("F11")</t>
  </si>
  <si>
    <t>characterA(13)=Sheets("Battle").range("D12")</t>
  </si>
  <si>
    <t>characterA(14)=Sheets("Battle").range("F12")</t>
  </si>
  <si>
    <t>characterA(15)=Sheets("Battle").range("D13")</t>
  </si>
  <si>
    <t>characterA(16)=Sheets("Battle").range("F13")</t>
  </si>
  <si>
    <t>characterB(1)=Sheets("Battle").range("D19")</t>
  </si>
  <si>
    <t>characterB(2)=Sheets("Battle").range("F19")</t>
  </si>
  <si>
    <t>characterB(3)=Sheets("Battle").range("D20")</t>
  </si>
  <si>
    <t>characterB(4)=Sheets("Battle").range("F20")</t>
  </si>
  <si>
    <t>characterB(5)=Sheets("Battle").range("D21")</t>
  </si>
  <si>
    <t>characterB(6)=Sheets("Battle").range("F21")</t>
  </si>
  <si>
    <t>characterB(7)=Sheets("Battle").range("D22")</t>
  </si>
  <si>
    <t>characterB(8)=Sheets("Battle").range("F22")</t>
  </si>
  <si>
    <t>characterB(9)=Sheets("Battle").range("D23")</t>
  </si>
  <si>
    <t>characterB(10)=Sheets("Battle").range("F23")</t>
  </si>
  <si>
    <t>characterB(11)=Sheets("Battle").range("D24")</t>
  </si>
  <si>
    <t>characterB(12)=Sheets("Battle").range("F24")</t>
  </si>
  <si>
    <t>characterB(13)=Sheets("Battle").range("D25")</t>
  </si>
  <si>
    <t>characterB(14)=Sheets("Battle").range("F25")</t>
  </si>
  <si>
    <t>characterB(15)=Sheets("Battle").range("D26")</t>
  </si>
  <si>
    <t>characterB(16)=Sheets("Battle").range("F26")</t>
  </si>
  <si>
    <t>---------第6回合--------</t>
  </si>
  <si>
    <t>---------第7回合--------</t>
  </si>
  <si>
    <t>---------第8回合--------</t>
  </si>
  <si>
    <t>---------第9回合--------</t>
  </si>
  <si>
    <t>---------第10回合--------</t>
  </si>
  <si>
    <t>---------战斗结束--------</t>
  </si>
  <si>
    <t>A速度不大于B,B优先行动</t>
  </si>
  <si>
    <t>B对A造成5伤害,A的剩余血量为:45</t>
  </si>
  <si>
    <t>B对A造成5伤害,A的剩余血量为:40</t>
  </si>
  <si>
    <t>A对B造成5伤害,B的剩余血量为:30 B被击晕</t>
  </si>
  <si>
    <t>B对A造成5伤害,A的剩余血量为:20</t>
  </si>
  <si>
    <t>A对B造成5伤害,B的剩余血量为:20 B被击晕</t>
  </si>
  <si>
    <t>B对A造成5伤害A的剩余血量为:0</t>
  </si>
  <si>
    <t>A对B造成5伤害,B的剩余血量为:35 B被击晕</t>
  </si>
  <si>
    <t>B对A造成5伤害,A的剩余血量为:35</t>
  </si>
  <si>
    <t>A对B造成5伤害,B的剩余血量为:15 B被击晕</t>
  </si>
  <si>
    <t>B(晕眩),无法行动</t>
  </si>
  <si>
    <t>A对B造成5伤害,B的剩余血量为:10 B被击晕</t>
  </si>
  <si>
    <t>A对B造成5伤害,B的剩余血量为:45</t>
  </si>
  <si>
    <t>A对B造成5伤害,B的剩余血量为:40</t>
  </si>
  <si>
    <t>A对B造成5伤害,B的剩余血量为:25</t>
  </si>
  <si>
    <t>A对B造成5伤害,B的剩余血量为:5</t>
  </si>
  <si>
    <t>B</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</si>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</sst>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scheme val="minor"/>
    </font>
    <font>
      <b/>
      <sz val="15"/>
      <color theme="3"/>
      <name val="等线"/>
      <family val="2"/>
      <charset val="134"/>
      <scheme val="minor"/>
    </font>
    <font>
      <sz val="9"/>
      <name val="等线"/>
      <family val="3"/>
      <charset val="134"/>
      <scheme val="minor"/>
    </font>
    <font>
      <sz val="11"/>
      <color rgb="FF000000"/>
      <name val="等线"/>
      <family val="3"/>
      <charset val="134"/>
    </font>
  </fonts>
  <fills count="2">
    <fill>
      <patternFill patternType="none"/>
    </fill>
    <fill>
      <patternFill patternType="gray125"/>
    </fill>
  </fills>
  <borders count="3">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1" applyNumberFormat="0" applyFill="0" applyAlignment="0" applyProtection="0">
      <alignment vertical="center"/>
    </xf>
  </cellStyleXfs>
  <cellXfs count="3">
    <xf numFmtId="0" fontId="0" fillId="0" borderId="0" xfId="0"/>
    <xf numFmtId="0" fontId="0" fillId="0" borderId="2" xfId="0" applyBorder="1"/>
    <xf numFmtId="0" fontId="1" fillId="0" borderId="1" xfId="1" applyAlignment="1"/>
  </cellXfs>
  <cellStyles count="2">
    <cellStyle name="标题 1" xfId="1" builtinId="16"/>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18</xdr:row>
          <xdr:rowOff>95250</xdr:rowOff>
        </xdr:from>
        <xdr:to>
          <xdr:col>9</xdr:col>
          <xdr:colOff>285750</xdr:colOff>
          <xdr:row>20</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模拟战斗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V46"/>
  <sheetViews>
    <sheetView workbookViewId="0">
      <selection activeCell="N28" sqref="N28"/>
    </sheetView>
  </sheetViews>
  <sheetFormatPr defaultRowHeight="14.25" x14ac:dyDescent="0.2"/>
  <cols>
    <col min="1" max="1" width="13.75" customWidth="1"/>
    <col min="6" max="6" width="14.75" customWidth="1"/>
    <col min="11" max="11" width="12.625" customWidth="1"/>
  </cols>
  <sheetData>
    <row r="5" spans="1:22" ht="20.25" thickBot="1" x14ac:dyDescent="0.35">
      <c r="C5" s="2" t="s">
        <v>9</v>
      </c>
      <c r="K5" s="2" t="s">
        <v>11</v>
      </c>
      <c r="L5" s="2"/>
      <c r="M5" s="2"/>
    </row>
    <row r="6" spans="1:22" ht="15" thickTop="1" x14ac:dyDescent="0.2">
      <c r="A6" t="str">
        <f>"characterA("&amp;H6&amp;")"</f>
        <v>characterA(1)</v>
      </c>
      <c r="B6" t="str">
        <f t="shared" ref="B6:B13" si="0">"D"&amp;ROW(D6)</f>
        <v>D6</v>
      </c>
      <c r="C6" s="1" t="s">
        <v>0</v>
      </c>
      <c r="E6" s="1" t="s">
        <v>19</v>
      </c>
      <c r="F6" t="str">
        <f>"characterA("&amp;I6&amp;")"</f>
        <v>characterA(2)</v>
      </c>
      <c r="G6" t="str">
        <f>"F"&amp;ROW(I6)</f>
        <v>F6</v>
      </c>
      <c r="H6">
        <v>1</v>
      </c>
      <c r="I6">
        <v>2</v>
      </c>
    </row>
    <row r="7" spans="1:22" x14ac:dyDescent="0.2">
      <c r="A7" t="str">
        <f t="shared" ref="A7:A13" si="1">"characterA("&amp;H7&amp;")"</f>
        <v>characterA(3)</v>
      </c>
      <c r="B7" t="str">
        <f t="shared" si="0"/>
        <v>D7</v>
      </c>
      <c r="C7" s="1" t="s">
        <v>1</v>
      </c>
      <c r="E7" s="1" t="s">
        <v>2</v>
      </c>
      <c r="F7" t="str">
        <f t="shared" ref="F7:F13" si="2">"characterA("&amp;I7&amp;")"</f>
        <v>characterA(4)</v>
      </c>
      <c r="G7" t="str">
        <f t="shared" ref="G7:G13" si="3">"F"&amp;ROW(I7)</f>
        <v>F7</v>
      </c>
      <c r="H7">
        <v>3</v>
      </c>
      <c r="I7">
        <v>4</v>
      </c>
    </row>
    <row r="8" spans="1:22" x14ac:dyDescent="0.2">
      <c r="A8" t="str">
        <f t="shared" si="1"/>
        <v>characterA(5)</v>
      </c>
      <c r="B8" t="str">
        <f t="shared" si="0"/>
        <v>D8</v>
      </c>
      <c r="C8" s="1" t="s">
        <v>5</v>
      </c>
      <c r="E8" s="1" t="str">
        <f>C8&amp;"抵抗"</f>
        <v>连击抵抗</v>
      </c>
      <c r="F8" t="str">
        <f t="shared" si="2"/>
        <v>characterA(6)</v>
      </c>
      <c r="G8" t="str">
        <f t="shared" si="3"/>
        <v>F8</v>
      </c>
      <c r="H8">
        <v>5</v>
      </c>
      <c r="I8">
        <v>6</v>
      </c>
      <c r="K8" t="s">
        <v>41</v>
      </c>
      <c r="L8" t="str">
        <f t="shared" ref="L8:L39" si="4">_xlfn.IFNA(VLOOKUP(K8,A:B,2,0),VLOOKUP(K8,F:G,2,0))</f>
        <v>D6</v>
      </c>
      <c r="M8" t="str">
        <f t="shared" ref="M8:M39" si="5">K8&amp;"=Sheets('Battle').range("&amp;"'"&amp;L8&amp;"'"&amp;")"</f>
        <v>characterA(1)=Sheets('Battle').range('D6')</v>
      </c>
      <c r="Q8" t="s">
        <v>66</v>
      </c>
      <c r="U8" t="str">
        <f>K8&amp;" As Single"</f>
        <v>characterA(1) As Single</v>
      </c>
      <c r="V8" t="str">
        <f>"Dim "&amp;_xlfn.TEXTJOIN(",",TRUE,U8:U39)</f>
        <v>Dim characterA(1) As Single,characterA(2) As Single,characterA(3) As Single,characterA(4) As Single,characterA(5) As Single,characterA(6) As Single,characterA(7) As Single,characterA(8) As Single,characterA(9) As Single,characterA(10) As Single,characterA(11) As Single,characterA(12) As Single,characterA(13) As Single,characterA(14) As Single,characterA(15) As Single,characterA(16) As Single,characterB(1) As Single,characterB(2) As Single,characterB(3) As Single,characterB(4) As Single,characterB(5) As Single,characterB(6) As Single,characterB(7) As Single,characterB(8) As Single,characterB(9) As Single,characterB(10) As Single,characterB(11) As Single,characterB(12) As Single,characterB(13) As Single,characterB(14) As Single,characterB(15) As Single,characterB(16) As Single</v>
      </c>
    </row>
    <row r="9" spans="1:22" x14ac:dyDescent="0.2">
      <c r="A9" t="str">
        <f t="shared" si="1"/>
        <v>characterA(7)</v>
      </c>
      <c r="B9" t="str">
        <f t="shared" si="0"/>
        <v>D9</v>
      </c>
      <c r="C9" s="1" t="s">
        <v>6</v>
      </c>
      <c r="E9" s="1" t="str">
        <f t="shared" ref="E9:E13" si="6">C9&amp;"抵抗"</f>
        <v>反击抵抗</v>
      </c>
      <c r="F9" t="str">
        <f t="shared" si="2"/>
        <v>characterA(8)</v>
      </c>
      <c r="G9" t="str">
        <f t="shared" si="3"/>
        <v>F9</v>
      </c>
      <c r="H9">
        <v>7</v>
      </c>
      <c r="I9">
        <v>8</v>
      </c>
      <c r="K9" t="s">
        <v>34</v>
      </c>
      <c r="L9" t="str">
        <f t="shared" si="4"/>
        <v>F6</v>
      </c>
      <c r="M9" t="str">
        <f t="shared" si="5"/>
        <v>characterA(2)=Sheets('Battle').range('F6')</v>
      </c>
      <c r="Q9" t="s">
        <v>67</v>
      </c>
      <c r="U9" t="str">
        <f t="shared" ref="U9:U39" si="7">K9&amp;" As Single"</f>
        <v>characterA(2) As Single</v>
      </c>
    </row>
    <row r="10" spans="1:22" x14ac:dyDescent="0.2">
      <c r="A10" t="str">
        <f t="shared" si="1"/>
        <v>characterA(9)</v>
      </c>
      <c r="B10" t="str">
        <f t="shared" si="0"/>
        <v>D10</v>
      </c>
      <c r="C10" s="1" t="s">
        <v>3</v>
      </c>
      <c r="E10" s="1" t="str">
        <f t="shared" si="6"/>
        <v>暴击抵抗</v>
      </c>
      <c r="F10" t="str">
        <f t="shared" si="2"/>
        <v>characterA(10)</v>
      </c>
      <c r="G10" t="str">
        <f t="shared" si="3"/>
        <v>F10</v>
      </c>
      <c r="H10">
        <v>9</v>
      </c>
      <c r="I10">
        <v>10</v>
      </c>
      <c r="K10" t="s">
        <v>42</v>
      </c>
      <c r="L10" t="str">
        <f t="shared" si="4"/>
        <v>D7</v>
      </c>
      <c r="M10" t="str">
        <f t="shared" si="5"/>
        <v>characterA(3)=Sheets('Battle').range('D7')</v>
      </c>
      <c r="Q10" t="s">
        <v>68</v>
      </c>
      <c r="U10" t="str">
        <f t="shared" si="7"/>
        <v>characterA(3) As Single</v>
      </c>
    </row>
    <row r="11" spans="1:22" x14ac:dyDescent="0.2">
      <c r="A11" t="str">
        <f t="shared" si="1"/>
        <v>characterA(11)</v>
      </c>
      <c r="B11" t="str">
        <f t="shared" si="0"/>
        <v>D11</v>
      </c>
      <c r="C11" s="1" t="s">
        <v>4</v>
      </c>
      <c r="E11" s="1" t="str">
        <f t="shared" si="6"/>
        <v>闪避抵抗</v>
      </c>
      <c r="F11" t="str">
        <f t="shared" si="2"/>
        <v>characterA(12)</v>
      </c>
      <c r="G11" t="str">
        <f>"F"&amp;ROW(I11)</f>
        <v>F11</v>
      </c>
      <c r="H11">
        <v>11</v>
      </c>
      <c r="I11">
        <v>12</v>
      </c>
      <c r="K11" t="s">
        <v>35</v>
      </c>
      <c r="L11" t="str">
        <f t="shared" si="4"/>
        <v>F7</v>
      </c>
      <c r="M11" t="str">
        <f t="shared" si="5"/>
        <v>characterA(4)=Sheets('Battle').range('F7')</v>
      </c>
      <c r="Q11" t="s">
        <v>69</v>
      </c>
      <c r="U11" t="str">
        <f t="shared" si="7"/>
        <v>characterA(4) As Single</v>
      </c>
    </row>
    <row r="12" spans="1:22" x14ac:dyDescent="0.2">
      <c r="A12" t="str">
        <f t="shared" si="1"/>
        <v>characterA(13)</v>
      </c>
      <c r="B12" t="str">
        <f t="shared" si="0"/>
        <v>D12</v>
      </c>
      <c r="C12" s="1" t="s">
        <v>7</v>
      </c>
      <c r="E12" s="1" t="str">
        <f t="shared" si="6"/>
        <v>击晕抵抗</v>
      </c>
      <c r="F12" t="str">
        <f t="shared" si="2"/>
        <v>characterA(14)</v>
      </c>
      <c r="G12" t="str">
        <f>"F"&amp;ROW(I12)</f>
        <v>F12</v>
      </c>
      <c r="H12">
        <v>13</v>
      </c>
      <c r="I12">
        <v>14</v>
      </c>
      <c r="K12" t="s">
        <v>43</v>
      </c>
      <c r="L12" t="str">
        <f t="shared" si="4"/>
        <v>D8</v>
      </c>
      <c r="M12" t="str">
        <f t="shared" si="5"/>
        <v>characterA(5)=Sheets('Battle').range('D8')</v>
      </c>
      <c r="Q12" t="s">
        <v>70</v>
      </c>
      <c r="U12" t="str">
        <f t="shared" si="7"/>
        <v>characterA(5) As Single</v>
      </c>
    </row>
    <row r="13" spans="1:22" x14ac:dyDescent="0.2">
      <c r="A13" t="str">
        <f t="shared" si="1"/>
        <v>characterA(15)</v>
      </c>
      <c r="B13" t="str">
        <f t="shared" si="0"/>
        <v>D13</v>
      </c>
      <c r="C13" s="1" t="s">
        <v>8</v>
      </c>
      <c r="E13" s="1" t="str">
        <f t="shared" si="6"/>
        <v>吸血抵抗</v>
      </c>
      <c r="F13" t="str">
        <f t="shared" si="2"/>
        <v>characterA(16)</v>
      </c>
      <c r="G13" t="str">
        <f t="shared" si="3"/>
        <v>F13</v>
      </c>
      <c r="H13">
        <v>15</v>
      </c>
      <c r="I13">
        <v>16</v>
      </c>
      <c r="K13" t="s">
        <v>36</v>
      </c>
      <c r="L13" t="str">
        <f t="shared" si="4"/>
        <v>F8</v>
      </c>
      <c r="M13" t="str">
        <f t="shared" si="5"/>
        <v>characterA(6)=Sheets('Battle').range('F8')</v>
      </c>
      <c r="Q13" t="s">
        <v>71</v>
      </c>
      <c r="U13" t="str">
        <f t="shared" si="7"/>
        <v>characterA(6) As Single</v>
      </c>
    </row>
    <row r="14" spans="1:22" x14ac:dyDescent="0.2">
      <c r="K14" t="s">
        <v>44</v>
      </c>
      <c r="L14" t="str">
        <f t="shared" si="4"/>
        <v>D9</v>
      </c>
      <c r="M14" t="str">
        <f t="shared" si="5"/>
        <v>characterA(7)=Sheets('Battle').range('D9')</v>
      </c>
      <c r="Q14" t="s">
        <v>72</v>
      </c>
      <c r="U14" t="str">
        <f t="shared" si="7"/>
        <v>characterA(7) As Single</v>
      </c>
    </row>
    <row r="15" spans="1:22" x14ac:dyDescent="0.2">
      <c r="K15" t="s">
        <v>37</v>
      </c>
      <c r="L15" t="str">
        <f t="shared" si="4"/>
        <v>F9</v>
      </c>
      <c r="M15" t="str">
        <f t="shared" si="5"/>
        <v>characterA(8)=Sheets('Battle').range('F9')</v>
      </c>
      <c r="Q15" t="s">
        <v>73</v>
      </c>
      <c r="U15" t="str">
        <f t="shared" si="7"/>
        <v>characterA(8) As Single</v>
      </c>
    </row>
    <row r="16" spans="1:22" x14ac:dyDescent="0.2">
      <c r="K16" t="s">
        <v>45</v>
      </c>
      <c r="L16" t="str">
        <f t="shared" si="4"/>
        <v>D10</v>
      </c>
      <c r="M16" t="str">
        <f t="shared" si="5"/>
        <v>characterA(9)=Sheets('Battle').range('D10')</v>
      </c>
      <c r="Q16" t="s">
        <v>74</v>
      </c>
      <c r="U16" t="str">
        <f t="shared" si="7"/>
        <v>characterA(9) As Single</v>
      </c>
    </row>
    <row r="17" spans="1:21" x14ac:dyDescent="0.2">
      <c r="K17" t="s">
        <v>38</v>
      </c>
      <c r="L17" t="str">
        <f t="shared" si="4"/>
        <v>F10</v>
      </c>
      <c r="M17" t="str">
        <f t="shared" si="5"/>
        <v>characterA(10)=Sheets('Battle').range('F10')</v>
      </c>
      <c r="Q17" t="s">
        <v>75</v>
      </c>
      <c r="U17" t="str">
        <f t="shared" si="7"/>
        <v>characterA(10) As Single</v>
      </c>
    </row>
    <row r="18" spans="1:21" ht="20.25" thickBot="1" x14ac:dyDescent="0.35">
      <c r="C18" s="2" t="s">
        <v>10</v>
      </c>
      <c r="K18" t="s">
        <v>46</v>
      </c>
      <c r="L18" t="str">
        <f t="shared" si="4"/>
        <v>D11</v>
      </c>
      <c r="M18" t="str">
        <f t="shared" si="5"/>
        <v>characterA(11)=Sheets('Battle').range('D11')</v>
      </c>
      <c r="Q18" t="s">
        <v>76</v>
      </c>
      <c r="U18" t="str">
        <f t="shared" si="7"/>
        <v>characterA(11) As Single</v>
      </c>
    </row>
    <row r="19" spans="1:21" ht="15" thickTop="1" x14ac:dyDescent="0.2">
      <c r="A19" t="str">
        <f>"characterB("&amp;H19&amp;")"</f>
        <v>characterB(1)</v>
      </c>
      <c r="B19" t="str">
        <f>"D"&amp;ROW(D19)</f>
        <v>D19</v>
      </c>
      <c r="C19" s="1" t="s">
        <v>17</v>
      </c>
      <c r="D19" s="1"/>
      <c r="E19" s="1" t="s">
        <v>18</v>
      </c>
      <c r="F19" t="str">
        <f t="shared" ref="F19:F26" si="8">"characterB("&amp;I19&amp;")"</f>
        <v>characterB(2)</v>
      </c>
      <c r="G19" t="str">
        <f>"F"&amp;ROW(I19)</f>
        <v>F19</v>
      </c>
      <c r="H19">
        <v>1</v>
      </c>
      <c r="I19">
        <v>2</v>
      </c>
      <c r="K19" t="s">
        <v>39</v>
      </c>
      <c r="L19" t="str">
        <f t="shared" si="4"/>
        <v>F11</v>
      </c>
      <c r="M19" t="str">
        <f t="shared" si="5"/>
        <v>characterA(12)=Sheets('Battle').range('F11')</v>
      </c>
      <c r="Q19" t="s">
        <v>77</v>
      </c>
      <c r="U19" t="str">
        <f t="shared" si="7"/>
        <v>characterA(12) As Single</v>
      </c>
    </row>
    <row r="20" spans="1:21" x14ac:dyDescent="0.2">
      <c r="A20" t="str">
        <f t="shared" ref="A20:A26" si="9">"characterB("&amp;H20&amp;")"</f>
        <v>characterB(3)</v>
      </c>
      <c r="B20" t="str">
        <f t="shared" ref="B20:B26" si="10">"D"&amp;ROW(D20)</f>
        <v>D20</v>
      </c>
      <c r="C20" s="1" t="s">
        <v>24</v>
      </c>
      <c r="D20" s="1"/>
      <c r="E20" s="1" t="s">
        <v>25</v>
      </c>
      <c r="F20" t="str">
        <f t="shared" si="8"/>
        <v>characterB(4)</v>
      </c>
      <c r="G20" t="str">
        <f t="shared" ref="G20:G26" si="11">"F"&amp;ROW(I20)</f>
        <v>F20</v>
      </c>
      <c r="H20">
        <v>3</v>
      </c>
      <c r="I20">
        <v>4</v>
      </c>
      <c r="K20" t="s">
        <v>47</v>
      </c>
      <c r="L20" t="str">
        <f t="shared" si="4"/>
        <v>D12</v>
      </c>
      <c r="M20" t="str">
        <f t="shared" si="5"/>
        <v>characterA(13)=Sheets('Battle').range('D12')</v>
      </c>
      <c r="Q20" t="s">
        <v>78</v>
      </c>
      <c r="U20" t="str">
        <f t="shared" si="7"/>
        <v>characterA(13) As Single</v>
      </c>
    </row>
    <row r="21" spans="1:21" x14ac:dyDescent="0.2">
      <c r="A21" t="str">
        <f t="shared" si="9"/>
        <v>characterB(5)</v>
      </c>
      <c r="B21" t="str">
        <f t="shared" si="10"/>
        <v>D21</v>
      </c>
      <c r="C21" s="1" t="s">
        <v>20</v>
      </c>
      <c r="D21" s="1"/>
      <c r="E21" s="1" t="s">
        <v>26</v>
      </c>
      <c r="F21" t="str">
        <f t="shared" si="8"/>
        <v>characterB(6)</v>
      </c>
      <c r="G21" t="str">
        <f t="shared" si="11"/>
        <v>F21</v>
      </c>
      <c r="H21">
        <v>5</v>
      </c>
      <c r="I21">
        <v>6</v>
      </c>
      <c r="K21" t="s">
        <v>40</v>
      </c>
      <c r="L21" t="str">
        <f t="shared" si="4"/>
        <v>F12</v>
      </c>
      <c r="M21" t="str">
        <f t="shared" si="5"/>
        <v>characterA(14)=Sheets('Battle').range('F12')</v>
      </c>
      <c r="Q21" t="s">
        <v>79</v>
      </c>
      <c r="U21" t="str">
        <f t="shared" si="7"/>
        <v>characterA(14) As Single</v>
      </c>
    </row>
    <row r="22" spans="1:21" x14ac:dyDescent="0.2">
      <c r="A22" t="str">
        <f t="shared" si="9"/>
        <v>characterB(7)</v>
      </c>
      <c r="B22" t="str">
        <f t="shared" si="10"/>
        <v>D22</v>
      </c>
      <c r="C22" s="1" t="s">
        <v>21</v>
      </c>
      <c r="D22" s="1"/>
      <c r="E22" s="1" t="s">
        <v>27</v>
      </c>
      <c r="F22" t="str">
        <f t="shared" si="8"/>
        <v>characterB(8)</v>
      </c>
      <c r="G22" t="str">
        <f t="shared" si="11"/>
        <v>F22</v>
      </c>
      <c r="H22">
        <v>7</v>
      </c>
      <c r="I22">
        <v>8</v>
      </c>
      <c r="K22" t="s">
        <v>48</v>
      </c>
      <c r="L22" t="str">
        <f t="shared" si="4"/>
        <v>D13</v>
      </c>
      <c r="M22" t="str">
        <f t="shared" si="5"/>
        <v>characterA(15)=Sheets('Battle').range('D13')</v>
      </c>
      <c r="Q22" t="s">
        <v>80</v>
      </c>
      <c r="U22" t="str">
        <f t="shared" si="7"/>
        <v>characterA(15) As Single</v>
      </c>
    </row>
    <row r="23" spans="1:21" x14ac:dyDescent="0.2">
      <c r="A23" t="str">
        <f t="shared" si="9"/>
        <v>characterB(9)</v>
      </c>
      <c r="B23" t="str">
        <f t="shared" si="10"/>
        <v>D23</v>
      </c>
      <c r="C23" s="1" t="s">
        <v>22</v>
      </c>
      <c r="D23" s="1"/>
      <c r="E23" s="1" t="s">
        <v>28</v>
      </c>
      <c r="F23" t="str">
        <f t="shared" si="8"/>
        <v>characterB(10)</v>
      </c>
      <c r="G23" t="str">
        <f t="shared" si="11"/>
        <v>F23</v>
      </c>
      <c r="H23">
        <v>9</v>
      </c>
      <c r="I23">
        <v>10</v>
      </c>
      <c r="K23" t="s">
        <v>64</v>
      </c>
      <c r="L23" t="str">
        <f t="shared" si="4"/>
        <v>F13</v>
      </c>
      <c r="M23" t="str">
        <f t="shared" si="5"/>
        <v>characterA(16)=Sheets('Battle').range('F13')</v>
      </c>
      <c r="Q23" t="s">
        <v>81</v>
      </c>
      <c r="U23" t="str">
        <f t="shared" si="7"/>
        <v>characterA(16) As Single</v>
      </c>
    </row>
    <row r="24" spans="1:21" x14ac:dyDescent="0.2">
      <c r="A24" t="str">
        <f t="shared" si="9"/>
        <v>characterB(11)</v>
      </c>
      <c r="B24" t="str">
        <f t="shared" si="10"/>
        <v>D24</v>
      </c>
      <c r="C24" s="1" t="s">
        <v>23</v>
      </c>
      <c r="D24" s="1"/>
      <c r="E24" s="1" t="s">
        <v>29</v>
      </c>
      <c r="F24" t="str">
        <f t="shared" si="8"/>
        <v>characterB(12)</v>
      </c>
      <c r="G24" t="str">
        <f t="shared" si="11"/>
        <v>F24</v>
      </c>
      <c r="H24">
        <v>11</v>
      </c>
      <c r="I24">
        <v>12</v>
      </c>
      <c r="K24" t="s">
        <v>49</v>
      </c>
      <c r="L24" t="str">
        <f t="shared" si="4"/>
        <v>D19</v>
      </c>
      <c r="M24" t="str">
        <f t="shared" si="5"/>
        <v>characterB(1)=Sheets('Battle').range('D19')</v>
      </c>
      <c r="Q24" t="s">
        <v>82</v>
      </c>
      <c r="U24" t="str">
        <f t="shared" si="7"/>
        <v>characterB(1) As Single</v>
      </c>
    </row>
    <row r="25" spans="1:21" x14ac:dyDescent="0.2">
      <c r="A25" t="str">
        <f t="shared" si="9"/>
        <v>characterB(13)</v>
      </c>
      <c r="B25" t="str">
        <f t="shared" si="10"/>
        <v>D25</v>
      </c>
      <c r="C25" s="1" t="s">
        <v>30</v>
      </c>
      <c r="D25" s="1"/>
      <c r="E25" s="1" t="s">
        <v>31</v>
      </c>
      <c r="F25" t="str">
        <f t="shared" si="8"/>
        <v>characterB(14)</v>
      </c>
      <c r="G25" t="str">
        <f t="shared" si="11"/>
        <v>F25</v>
      </c>
      <c r="H25">
        <v>13</v>
      </c>
      <c r="I25">
        <v>14</v>
      </c>
      <c r="K25" t="s">
        <v>50</v>
      </c>
      <c r="L25" t="str">
        <f t="shared" si="4"/>
        <v>F19</v>
      </c>
      <c r="M25" t="str">
        <f t="shared" si="5"/>
        <v>characterB(2)=Sheets('Battle').range('F19')</v>
      </c>
      <c r="Q25" t="s">
        <v>83</v>
      </c>
      <c r="U25" t="str">
        <f t="shared" si="7"/>
        <v>characterB(2) As Single</v>
      </c>
    </row>
    <row r="26" spans="1:21" x14ac:dyDescent="0.2">
      <c r="A26" t="str">
        <f t="shared" si="9"/>
        <v>characterB(15)</v>
      </c>
      <c r="B26" t="str">
        <f t="shared" si="10"/>
        <v>D26</v>
      </c>
      <c r="C26" s="1" t="s">
        <v>32</v>
      </c>
      <c r="D26" s="1"/>
      <c r="E26" s="1" t="s">
        <v>33</v>
      </c>
      <c r="F26" t="str">
        <f t="shared" si="8"/>
        <v>characterB(16)</v>
      </c>
      <c r="G26" t="str">
        <f t="shared" si="11"/>
        <v>F26</v>
      </c>
      <c r="H26">
        <v>15</v>
      </c>
      <c r="I26">
        <v>16</v>
      </c>
      <c r="K26" t="s">
        <v>51</v>
      </c>
      <c r="L26" t="str">
        <f t="shared" si="4"/>
        <v>D20</v>
      </c>
      <c r="M26" t="str">
        <f t="shared" si="5"/>
        <v>characterB(3)=Sheets('Battle').range('D20')</v>
      </c>
      <c r="Q26" t="s">
        <v>84</v>
      </c>
      <c r="U26" t="str">
        <f t="shared" si="7"/>
        <v>characterB(3) As Single</v>
      </c>
    </row>
    <row r="27" spans="1:21" x14ac:dyDescent="0.2">
      <c r="K27" t="s">
        <v>52</v>
      </c>
      <c r="L27" t="str">
        <f t="shared" si="4"/>
        <v>F20</v>
      </c>
      <c r="M27" t="str">
        <f t="shared" si="5"/>
        <v>characterB(4)=Sheets('Battle').range('F20')</v>
      </c>
      <c r="Q27" t="s">
        <v>85</v>
      </c>
      <c r="U27" t="str">
        <f t="shared" si="7"/>
        <v>characterB(4) As Single</v>
      </c>
    </row>
    <row r="28" spans="1:21" x14ac:dyDescent="0.2">
      <c r="K28" t="s">
        <v>53</v>
      </c>
      <c r="L28" t="str">
        <f t="shared" si="4"/>
        <v>D21</v>
      </c>
      <c r="M28" t="str">
        <f t="shared" si="5"/>
        <v>characterB(5)=Sheets('Battle').range('D21')</v>
      </c>
      <c r="Q28" t="s">
        <v>86</v>
      </c>
      <c r="U28" t="str">
        <f t="shared" si="7"/>
        <v>characterB(5) As Single</v>
      </c>
    </row>
    <row r="29" spans="1:21" x14ac:dyDescent="0.2">
      <c r="K29" t="s">
        <v>54</v>
      </c>
      <c r="L29" t="str">
        <f t="shared" si="4"/>
        <v>F21</v>
      </c>
      <c r="M29" t="str">
        <f t="shared" si="5"/>
        <v>characterB(6)=Sheets('Battle').range('F21')</v>
      </c>
      <c r="Q29" t="s">
        <v>87</v>
      </c>
      <c r="U29" t="str">
        <f t="shared" si="7"/>
        <v>characterB(6) As Single</v>
      </c>
    </row>
    <row r="30" spans="1:21" x14ac:dyDescent="0.2">
      <c r="K30" t="s">
        <v>55</v>
      </c>
      <c r="L30" t="str">
        <f t="shared" si="4"/>
        <v>D22</v>
      </c>
      <c r="M30" t="str">
        <f t="shared" si="5"/>
        <v>characterB(7)=Sheets('Battle').range('D22')</v>
      </c>
      <c r="Q30" t="s">
        <v>88</v>
      </c>
      <c r="U30" t="str">
        <f t="shared" si="7"/>
        <v>characterB(7) As Single</v>
      </c>
    </row>
    <row r="31" spans="1:21" x14ac:dyDescent="0.2">
      <c r="G31" t="s">
        <v>17</v>
      </c>
      <c r="H31">
        <v>1</v>
      </c>
      <c r="K31" t="s">
        <v>56</v>
      </c>
      <c r="L31" t="str">
        <f t="shared" si="4"/>
        <v>F22</v>
      </c>
      <c r="M31" t="str">
        <f t="shared" si="5"/>
        <v>characterB(8)=Sheets('Battle').range('F22')</v>
      </c>
      <c r="Q31" t="s">
        <v>89</v>
      </c>
      <c r="U31" t="str">
        <f t="shared" si="7"/>
        <v>characterB(8) As Single</v>
      </c>
    </row>
    <row r="32" spans="1:21" x14ac:dyDescent="0.2">
      <c r="G32" t="s">
        <v>18</v>
      </c>
      <c r="H32">
        <v>2</v>
      </c>
      <c r="K32" t="s">
        <v>57</v>
      </c>
      <c r="L32" t="str">
        <f t="shared" si="4"/>
        <v>D23</v>
      </c>
      <c r="M32" t="str">
        <f t="shared" si="5"/>
        <v>characterB(9)=Sheets('Battle').range('D23')</v>
      </c>
      <c r="Q32" t="s">
        <v>90</v>
      </c>
      <c r="U32" t="str">
        <f t="shared" si="7"/>
        <v>characterB(9) As Single</v>
      </c>
    </row>
    <row r="33" spans="7:21" x14ac:dyDescent="0.2">
      <c r="G33" t="s">
        <v>24</v>
      </c>
      <c r="H33">
        <v>3</v>
      </c>
      <c r="K33" t="s">
        <v>58</v>
      </c>
      <c r="L33" t="str">
        <f t="shared" si="4"/>
        <v>F23</v>
      </c>
      <c r="M33" t="str">
        <f t="shared" si="5"/>
        <v>characterB(10)=Sheets('Battle').range('F23')</v>
      </c>
      <c r="Q33" t="s">
        <v>91</v>
      </c>
      <c r="U33" t="str">
        <f t="shared" si="7"/>
        <v>characterB(10) As Single</v>
      </c>
    </row>
    <row r="34" spans="7:21" x14ac:dyDescent="0.2">
      <c r="G34" t="s">
        <v>25</v>
      </c>
      <c r="H34">
        <v>4</v>
      </c>
      <c r="K34" t="s">
        <v>59</v>
      </c>
      <c r="L34" t="str">
        <f t="shared" si="4"/>
        <v>D24</v>
      </c>
      <c r="M34" t="str">
        <f t="shared" si="5"/>
        <v>characterB(11)=Sheets('Battle').range('D24')</v>
      </c>
      <c r="Q34" t="s">
        <v>92</v>
      </c>
      <c r="U34" t="str">
        <f t="shared" si="7"/>
        <v>characterB(11) As Single</v>
      </c>
    </row>
    <row r="35" spans="7:21" x14ac:dyDescent="0.2">
      <c r="G35" t="s">
        <v>20</v>
      </c>
      <c r="H35">
        <v>5</v>
      </c>
      <c r="K35" t="s">
        <v>60</v>
      </c>
      <c r="L35" t="str">
        <f t="shared" si="4"/>
        <v>F24</v>
      </c>
      <c r="M35" t="str">
        <f t="shared" si="5"/>
        <v>characterB(12)=Sheets('Battle').range('F24')</v>
      </c>
      <c r="Q35" t="s">
        <v>93</v>
      </c>
      <c r="U35" t="str">
        <f t="shared" si="7"/>
        <v>characterB(12) As Single</v>
      </c>
    </row>
    <row r="36" spans="7:21" x14ac:dyDescent="0.2">
      <c r="G36" t="s">
        <v>26</v>
      </c>
      <c r="H36">
        <v>6</v>
      </c>
      <c r="K36" t="s">
        <v>61</v>
      </c>
      <c r="L36" t="str">
        <f t="shared" si="4"/>
        <v>D25</v>
      </c>
      <c r="M36" t="str">
        <f t="shared" si="5"/>
        <v>characterB(13)=Sheets('Battle').range('D25')</v>
      </c>
      <c r="Q36" t="s">
        <v>94</v>
      </c>
      <c r="U36" t="str">
        <f t="shared" si="7"/>
        <v>characterB(13) As Single</v>
      </c>
    </row>
    <row r="37" spans="7:21" x14ac:dyDescent="0.2">
      <c r="G37" t="s">
        <v>21</v>
      </c>
      <c r="H37">
        <v>7</v>
      </c>
      <c r="K37" t="s">
        <v>62</v>
      </c>
      <c r="L37" t="str">
        <f t="shared" si="4"/>
        <v>F25</v>
      </c>
      <c r="M37" t="str">
        <f t="shared" si="5"/>
        <v>characterB(14)=Sheets('Battle').range('F25')</v>
      </c>
      <c r="Q37" t="s">
        <v>95</v>
      </c>
      <c r="U37" t="str">
        <f t="shared" si="7"/>
        <v>characterB(14) As Single</v>
      </c>
    </row>
    <row r="38" spans="7:21" x14ac:dyDescent="0.2">
      <c r="G38" t="s">
        <v>27</v>
      </c>
      <c r="H38">
        <v>8</v>
      </c>
      <c r="K38" t="s">
        <v>63</v>
      </c>
      <c r="L38" t="str">
        <f t="shared" si="4"/>
        <v>D26</v>
      </c>
      <c r="M38" t="str">
        <f t="shared" si="5"/>
        <v>characterB(15)=Sheets('Battle').range('D26')</v>
      </c>
      <c r="Q38" t="s">
        <v>96</v>
      </c>
      <c r="U38" t="str">
        <f t="shared" si="7"/>
        <v>characterB(15) As Single</v>
      </c>
    </row>
    <row r="39" spans="7:21" x14ac:dyDescent="0.2">
      <c r="G39" t="s">
        <v>22</v>
      </c>
      <c r="H39">
        <v>9</v>
      </c>
      <c r="K39" t="s">
        <v>65</v>
      </c>
      <c r="L39" t="str">
        <f t="shared" si="4"/>
        <v>F26</v>
      </c>
      <c r="M39" t="str">
        <f t="shared" si="5"/>
        <v>characterB(16)=Sheets('Battle').range('F26')</v>
      </c>
      <c r="Q39" t="s">
        <v>97</v>
      </c>
      <c r="U39" t="str">
        <f t="shared" si="7"/>
        <v>characterB(16) As Single</v>
      </c>
    </row>
    <row r="40" spans="7:21" x14ac:dyDescent="0.2">
      <c r="G40" t="s">
        <v>28</v>
      </c>
      <c r="H40">
        <v>10</v>
      </c>
    </row>
    <row r="41" spans="7:21" x14ac:dyDescent="0.2">
      <c r="G41" t="s">
        <v>23</v>
      </c>
      <c r="H41">
        <v>11</v>
      </c>
    </row>
    <row r="42" spans="7:21" x14ac:dyDescent="0.2">
      <c r="G42" t="s">
        <v>29</v>
      </c>
      <c r="H42">
        <v>12</v>
      </c>
    </row>
    <row r="43" spans="7:21" x14ac:dyDescent="0.2">
      <c r="G43" t="s">
        <v>30</v>
      </c>
      <c r="H43">
        <v>13</v>
      </c>
    </row>
    <row r="44" spans="7:21" x14ac:dyDescent="0.2">
      <c r="G44" t="s">
        <v>31</v>
      </c>
      <c r="H44">
        <v>14</v>
      </c>
    </row>
    <row r="45" spans="7:21" x14ac:dyDescent="0.2">
      <c r="G45" t="s">
        <v>32</v>
      </c>
      <c r="H45">
        <v>15</v>
      </c>
    </row>
    <row r="46" spans="7:21" x14ac:dyDescent="0.2">
      <c r="G46" t="s">
        <v>33</v>
      </c>
      <c r="H46">
        <v>16</v>
      </c>
    </row>
  </sheetData>
  <sortState xmlns:xlrd2="http://schemas.microsoft.com/office/spreadsheetml/2017/richdata2" ref="G31:H46">
    <sortCondition ref="H31"/>
  </sortState>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9D2DD-CEBC-4B33-B369-E959DCD80CC2}">
  <sheetPr codeName="Sheet2"/>
  <dimension ref="C1:N37"/>
  <sheetViews>
    <sheetView tabSelected="1" zoomScaleNormal="100" workbookViewId="0">
      <selection activeCell="U9" sqref="U9"/>
    </sheetView>
  </sheetViews>
  <sheetFormatPr defaultRowHeight="14.25" x14ac:dyDescent="0.2"/>
  <cols>
    <col min="6" max="6" width="9.5" bestFit="1" customWidth="1"/>
  </cols>
  <sheetData>
    <row r="1" spans="3:14" x14ac:dyDescent="0.2">
      <c r="N1" t="s">
        <v>120</v>
      </c>
    </row>
    <row r="2" spans="3:14" x14ac:dyDescent="0.2">
      <c r="N2" t="s">
        <v>121</v>
      </c>
    </row>
    <row r="5" spans="3:14" ht="20.25" thickBot="1" x14ac:dyDescent="0.35">
      <c r="C5" s="2" t="s">
        <v>9</v>
      </c>
      <c r="N5" t="s">
        <v>104</v>
      </c>
    </row>
    <row r="6" spans="3:14" ht="15" thickTop="1" x14ac:dyDescent="0.2">
      <c r="C6" s="1" t="s">
        <v>0</v>
      </c>
      <c r="D6" s="1">
        <v>10</v>
      </c>
      <c r="E6" s="1" t="s">
        <v>18</v>
      </c>
      <c r="F6" s="1">
        <v>50</v>
      </c>
    </row>
    <row r="7" spans="3:14" x14ac:dyDescent="0.2">
      <c r="C7" s="1" t="s">
        <v>1</v>
      </c>
      <c r="D7" s="1">
        <v>5</v>
      </c>
      <c r="E7" s="1" t="s">
        <v>2</v>
      </c>
      <c r="F7" s="1">
        <v>1</v>
      </c>
      <c r="N7" t="s">
        <v>12</v>
      </c>
    </row>
    <row r="8" spans="3:14" x14ac:dyDescent="0.2">
      <c r="C8" s="1" t="s">
        <v>5</v>
      </c>
      <c r="D8" s="1">
        <v>0</v>
      </c>
      <c r="E8" s="1" t="str">
        <f>C8&amp;"抵抗"</f>
        <v>连击抵抗</v>
      </c>
      <c r="F8" s="1">
        <v>0</v>
      </c>
      <c r="N8" t="s">
        <v>105</v>
      </c>
    </row>
    <row r="9" spans="3:14" x14ac:dyDescent="0.2">
      <c r="C9" s="1" t="s">
        <v>6</v>
      </c>
      <c r="D9" s="1">
        <v>0</v>
      </c>
      <c r="E9" s="1" t="str">
        <f>C9&amp;"抵抗"</f>
        <v>反击抵抗</v>
      </c>
      <c r="F9" s="1">
        <v>0</v>
      </c>
      <c r="N9" t="s">
        <v>116</v>
      </c>
    </row>
    <row r="10" spans="3:14" x14ac:dyDescent="0.2">
      <c r="C10" s="1" t="s">
        <v>3</v>
      </c>
      <c r="D10" s="1">
        <v>0</v>
      </c>
      <c r="E10" s="1" t="str">
        <f>C10&amp;"抵抗"</f>
        <v>暴击抵抗</v>
      </c>
      <c r="F10" s="1">
        <v>0</v>
      </c>
      <c r="N10" t="s">
        <v>13</v>
      </c>
    </row>
    <row r="11" spans="3:14" x14ac:dyDescent="0.2">
      <c r="C11" s="1" t="s">
        <v>4</v>
      </c>
      <c r="D11" s="1"/>
      <c r="E11" s="1" t="str">
        <f t="shared" ref="E11:E13" si="0">C11&amp;"抵抗"</f>
        <v>闪避抵抗</v>
      </c>
      <c r="F11" s="1">
        <v>0</v>
      </c>
      <c r="N11" t="s">
        <v>106</v>
      </c>
    </row>
    <row r="12" spans="3:14" x14ac:dyDescent="0.2">
      <c r="C12" s="1" t="s">
        <v>7</v>
      </c>
      <c r="D12" s="1">
        <v>0.6</v>
      </c>
      <c r="E12" s="1" t="str">
        <f t="shared" si="0"/>
        <v>击晕抵抗</v>
      </c>
      <c r="F12" s="1">
        <v>0</v>
      </c>
      <c r="N12" t="s">
        <v>117</v>
      </c>
    </row>
    <row r="13" spans="3:14" x14ac:dyDescent="0.2">
      <c r="C13" s="1" t="s">
        <v>8</v>
      </c>
      <c r="D13" s="1">
        <v>0</v>
      </c>
      <c r="E13" s="1" t="str">
        <f t="shared" si="0"/>
        <v>吸血抵抗</v>
      </c>
      <c r="F13" s="1">
        <v>0</v>
      </c>
      <c r="N13" t="s">
        <v>14</v>
      </c>
    </row>
    <row r="14" spans="3:14" x14ac:dyDescent="0.2">
      <c r="N14" t="s">
        <v>112</v>
      </c>
    </row>
    <row r="15" spans="3:14" x14ac:dyDescent="0.2">
      <c r="N15" t="s">
        <v>111</v>
      </c>
    </row>
    <row r="16" spans="3:14" x14ac:dyDescent="0.2">
      <c r="N16" t="s">
        <v>15</v>
      </c>
    </row>
    <row r="17" spans="3:14" x14ac:dyDescent="0.2">
      <c r="N17" t="s">
        <v>114</v>
      </c>
    </row>
    <row r="18" spans="3:14" ht="20.25" thickBot="1" x14ac:dyDescent="0.35">
      <c r="C18" s="2" t="s">
        <v>10</v>
      </c>
      <c r="N18" t="s">
        <v>107</v>
      </c>
    </row>
    <row r="19" spans="3:14" ht="15" thickTop="1" x14ac:dyDescent="0.2">
      <c r="C19" s="1" t="s">
        <v>0</v>
      </c>
      <c r="D19" s="1">
        <v>10</v>
      </c>
      <c r="E19" s="1" t="s">
        <v>18</v>
      </c>
      <c r="F19" s="1">
        <v>50</v>
      </c>
      <c r="N19" t="s">
        <v>16</v>
      </c>
    </row>
    <row r="20" spans="3:14" x14ac:dyDescent="0.2">
      <c r="C20" s="1" t="s">
        <v>1</v>
      </c>
      <c r="D20" s="1">
        <v>5</v>
      </c>
      <c r="E20" s="1" t="s">
        <v>2</v>
      </c>
      <c r="F20" s="1">
        <v>1</v>
      </c>
      <c r="N20" t="s">
        <v>114</v>
      </c>
    </row>
    <row r="21" spans="3:14" x14ac:dyDescent="0.2">
      <c r="C21" s="1" t="s">
        <v>5</v>
      </c>
      <c r="D21" s="1">
        <v>0</v>
      </c>
      <c r="E21" s="1" t="str">
        <f>C21&amp;"抵抗"</f>
        <v>连击抵抗</v>
      </c>
      <c r="F21" s="1">
        <v>0</v>
      </c>
      <c r="N21" t="s">
        <v>118</v>
      </c>
    </row>
    <row r="22" spans="3:14" x14ac:dyDescent="0.2">
      <c r="C22" s="1" t="s">
        <v>6</v>
      </c>
      <c r="D22" s="1">
        <v>0</v>
      </c>
      <c r="E22" s="1" t="str">
        <f t="shared" ref="E22:E26" si="1">C22&amp;"抵抗"</f>
        <v>反击抵抗</v>
      </c>
      <c r="F22" s="1">
        <v>0</v>
      </c>
      <c r="N22" t="s">
        <v>98</v>
      </c>
    </row>
    <row r="23" spans="3:14" x14ac:dyDescent="0.2">
      <c r="C23" s="1" t="s">
        <v>3</v>
      </c>
      <c r="D23" s="1">
        <v>0</v>
      </c>
      <c r="E23" s="1" t="str">
        <f t="shared" si="1"/>
        <v>暴击抵抗</v>
      </c>
      <c r="F23" s="1">
        <v>0</v>
      </c>
      <c r="N23" t="s">
        <v>108</v>
      </c>
    </row>
    <row r="24" spans="3:14" x14ac:dyDescent="0.2">
      <c r="C24" s="1" t="s">
        <v>4</v>
      </c>
      <c r="D24" s="1">
        <v>0</v>
      </c>
      <c r="E24" s="1" t="str">
        <f t="shared" si="1"/>
        <v>闪避抵抗</v>
      </c>
      <c r="F24" s="1">
        <v>0</v>
      </c>
      <c r="N24" t="s">
        <v>109</v>
      </c>
    </row>
    <row r="25" spans="3:14" x14ac:dyDescent="0.2">
      <c r="C25" s="1" t="s">
        <v>7</v>
      </c>
      <c r="D25" s="1"/>
      <c r="E25" s="1" t="str">
        <f t="shared" si="1"/>
        <v>击晕抵抗</v>
      </c>
      <c r="F25" s="1">
        <v>0</v>
      </c>
      <c r="N25" t="s">
        <v>99</v>
      </c>
    </row>
    <row r="26" spans="3:14" x14ac:dyDescent="0.2">
      <c r="C26" s="1" t="s">
        <v>8</v>
      </c>
      <c r="D26" s="1">
        <v>0</v>
      </c>
      <c r="E26" s="1" t="str">
        <f t="shared" si="1"/>
        <v>吸血抵抗</v>
      </c>
      <c r="F26" s="1">
        <v>0</v>
      </c>
      <c r="N26" t="s">
        <v>114</v>
      </c>
    </row>
    <row r="27" spans="3:14" x14ac:dyDescent="0.2">
      <c r="N27" t="s">
        <v>113</v>
      </c>
    </row>
    <row r="28" spans="3:14" x14ac:dyDescent="0.2">
      <c r="N28" t="s">
        <v>100</v>
      </c>
    </row>
    <row r="29" spans="3:14" x14ac:dyDescent="0.2">
      <c r="N29" t="s">
        <v>114</v>
      </c>
    </row>
    <row r="30" spans="3:14" x14ac:dyDescent="0.2">
      <c r="N30" t="s">
        <v>115</v>
      </c>
    </row>
    <row r="31" spans="3:14" x14ac:dyDescent="0.2">
      <c r="N31" t="s">
        <v>101</v>
      </c>
    </row>
    <row r="32" spans="3:14" x14ac:dyDescent="0.2">
      <c r="N32" t="s">
        <v>114</v>
      </c>
    </row>
    <row r="33" spans="14:14" x14ac:dyDescent="0.2">
      <c r="N33" t="s">
        <v>119</v>
      </c>
    </row>
    <row r="34" spans="14:14" x14ac:dyDescent="0.2">
      <c r="N34" t="s">
        <v>102</v>
      </c>
    </row>
    <row r="35" spans="14:14" x14ac:dyDescent="0.2">
      <c r="N35" t="s">
        <v>110</v>
      </c>
    </row>
    <row r="37" spans="14:14" x14ac:dyDescent="0.2">
      <c r="N37" t="s">
        <v>103</v>
      </c>
    </row>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2.battle">
                <anchor moveWithCells="1" sizeWithCells="1">
                  <from>
                    <xdr:col>7</xdr:col>
                    <xdr:colOff>419100</xdr:colOff>
                    <xdr:row>18</xdr:row>
                    <xdr:rowOff>95250</xdr:rowOff>
                  </from>
                  <to>
                    <xdr:col>9</xdr:col>
                    <xdr:colOff>285750</xdr:colOff>
                    <xdr:row>20</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Battle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Ricardo.Y Wang</dc:creator>
  <cp:lastModifiedBy>Ricardo.Y1</cp:lastModifiedBy>
  <dcterms:created xsi:type="dcterms:W3CDTF">2015-06-05T18:19:34Z</dcterms:created>
  <dcterms:modified xsi:type="dcterms:W3CDTF">2023-09-08T08:44:38Z</dcterms:modified>
</cp:coreProperties>
</file>